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os" sheetId="1" r:id="rId1"/>
    <sheet name="Balance General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<sst xmlns="http://schemas.openxmlformats.org/spreadsheetml/2006/main" count="52" uniqueCount="37">
  <si>
    <t>Fecha</t>
  </si>
  <si>
    <t>Cuenta</t>
  </si>
  <si>
    <t>Categoría</t>
  </si>
  <si>
    <t>Subcategoría</t>
  </si>
  <si>
    <t>Debe</t>
  </si>
  <si>
    <t>Haber</t>
  </si>
  <si>
    <t>Caja</t>
  </si>
  <si>
    <t>Activo</t>
  </si>
  <si>
    <t>Circulante</t>
  </si>
  <si>
    <t>Bancos</t>
  </si>
  <si>
    <t>Inventario</t>
  </si>
  <si>
    <t>Mobiliario</t>
  </si>
  <si>
    <t>No Circulante</t>
  </si>
  <si>
    <t>Proveedores</t>
  </si>
  <si>
    <t>Pasivo</t>
  </si>
  <si>
    <t>Corto Plazo</t>
  </si>
  <si>
    <t>Capital Social</t>
  </si>
  <si>
    <t>Patrimonio</t>
  </si>
  <si>
    <t>Capital</t>
  </si>
  <si>
    <t>Ventas</t>
  </si>
  <si>
    <t>Ingresos</t>
  </si>
  <si>
    <t>Operativo</t>
  </si>
  <si>
    <t>Costo de Ventas</t>
  </si>
  <si>
    <t>Gastos</t>
  </si>
  <si>
    <t>Utilidad Retenida</t>
  </si>
  <si>
    <t>Resultados</t>
  </si>
  <si>
    <t>Resultado del Ejercicio</t>
  </si>
  <si>
    <t>BALANCE GENERAL</t>
  </si>
  <si>
    <t>Generado Automáticamente</t>
  </si>
  <si>
    <t>ACTIVO</t>
  </si>
  <si>
    <t>TOTAL ACTIVO</t>
  </si>
  <si>
    <t>PASIVO</t>
  </si>
  <si>
    <t>TOTAL PASIVO</t>
  </si>
  <si>
    <t>PATRIMONIO</t>
  </si>
  <si>
    <t>TOTAL PATRIMONIO</t>
  </si>
  <si>
    <t>TOTAL PASIVO + PATRIMONIO</t>
  </si>
  <si>
    <t>CONTROL: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</si>
</sst>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$#,##0.00"/>
  </numFmts>
  <fonts count="5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0" fontId="2" fillId="0" borderId="1" xfId="0" applyFont="1" applyBorder="1"/>
    <xf numFmtId="165" fontId="3" fillId="0" borderId="2" xfId="0" applyNumberFormat="1" applyFont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ablaDatos" displayName="TablaDatos" ref="A1:F11" totalsRowShown="0">
  <autoFilter ref="A1:F11"/>
  <tableColumns count="6">
    <tableColumn id="1" name="Fecha"/>
    <tableColumn id="2" name="Cuenta"/>
    <tableColumn id="3" name="Categoría"/>
    <tableColumn id="4" name="Subcategoría"/>
    <tableColumn id="5" name="Debe"/>
    <tableColumn id="6" name="Hab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1"/>
  <sheetViews>
    <sheetView tabSelected="1" workbookViewId="0"/>
  </sheetViews>
  <sheetFormatPr defaultRowHeight="15"/>
  <cols>
    <col min="1" max="6" width="15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>
        <v>44927</v>
      </c>
      <c r="B2" t="s">
        <v>6</v>
      </c>
      <c r="C2" t="s">
        <v>7</v>
      </c>
      <c r="D2" t="s">
        <v>8</v>
      </c>
      <c r="E2" s="2">
        <v>50000</v>
      </c>
      <c r="F2" s="2">
        <v>0</v>
      </c>
    </row>
    <row r="3" spans="1:6">
      <c r="A3" s="1">
        <v>44927</v>
      </c>
      <c r="B3" t="s">
        <v>9</v>
      </c>
      <c r="C3" t="s">
        <v>7</v>
      </c>
      <c r="D3" t="s">
        <v>8</v>
      </c>
      <c r="E3" s="2">
        <v>150000</v>
      </c>
      <c r="F3" s="2">
        <v>0</v>
      </c>
    </row>
    <row r="4" spans="1:6">
      <c r="A4" s="1">
        <v>44927</v>
      </c>
      <c r="B4" t="s">
        <v>10</v>
      </c>
      <c r="C4" t="s">
        <v>7</v>
      </c>
      <c r="D4" t="s">
        <v>8</v>
      </c>
      <c r="E4" s="2">
        <v>75000</v>
      </c>
      <c r="F4" s="2">
        <v>0</v>
      </c>
    </row>
    <row r="5" spans="1:6">
      <c r="A5" s="1">
        <v>44928</v>
      </c>
      <c r="B5" t="s">
        <v>11</v>
      </c>
      <c r="C5" t="s">
        <v>7</v>
      </c>
      <c r="D5" t="s">
        <v>12</v>
      </c>
      <c r="E5" s="2">
        <v>25000</v>
      </c>
      <c r="F5" s="2">
        <v>0</v>
      </c>
    </row>
    <row r="6" spans="1:6">
      <c r="A6" s="1">
        <v>44928</v>
      </c>
      <c r="B6" t="s">
        <v>13</v>
      </c>
      <c r="C6" t="s">
        <v>14</v>
      </c>
      <c r="D6" t="s">
        <v>15</v>
      </c>
      <c r="E6" s="2">
        <v>0</v>
      </c>
      <c r="F6" s="2">
        <v>30000</v>
      </c>
    </row>
    <row r="7" spans="1:6">
      <c r="A7" s="1">
        <v>44929</v>
      </c>
      <c r="B7" t="s">
        <v>16</v>
      </c>
      <c r="C7" t="s">
        <v>17</v>
      </c>
      <c r="D7" t="s">
        <v>18</v>
      </c>
      <c r="E7" s="2">
        <v>0</v>
      </c>
      <c r="F7" s="2">
        <v>200000</v>
      </c>
    </row>
    <row r="8" spans="1:6">
      <c r="A8" s="1">
        <v>44930</v>
      </c>
      <c r="B8" t="s">
        <v>19</v>
      </c>
      <c r="C8" t="s">
        <v>20</v>
      </c>
      <c r="D8" t="s">
        <v>21</v>
      </c>
      <c r="E8" s="2">
        <v>0</v>
      </c>
      <c r="F8" s="2">
        <v>80000</v>
      </c>
    </row>
    <row r="9" spans="1:6">
      <c r="A9" s="1">
        <v>44931</v>
      </c>
      <c r="B9" t="s">
        <v>22</v>
      </c>
      <c r="C9" t="s">
        <v>23</v>
      </c>
      <c r="D9" t="s">
        <v>21</v>
      </c>
      <c r="E9" s="2">
        <v>40000</v>
      </c>
      <c r="F9" s="2">
        <v>0</v>
      </c>
    </row>
    <row r="10" spans="1:6">
      <c r="A10" s="1">
        <v>44931</v>
      </c>
      <c r="B10" t="s">
        <v>24</v>
      </c>
      <c r="C10" t="s">
        <v>17</v>
      </c>
      <c r="D10" t="s">
        <v>25</v>
      </c>
      <c r="E10" s="2">
        <v>0</v>
      </c>
      <c r="F10" s="2">
        <v>30000</v>
      </c>
    </row>
    <row r="11" spans="1:6">
      <c r="A11" s="1">
        <v>44957</v>
      </c>
      <c r="B11" t="s">
        <v>26</v>
      </c>
      <c r="C11" t="s">
        <v>17</v>
      </c>
      <c r="D11" t="s">
        <v>25</v>
      </c>
      <c r="E11" s="2">
        <v>0</v>
      </c>
      <c r="F11" s="2">
        <v>40000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27"/>
  <sheetViews>
    <sheetView workbookViewId="0"/>
  </sheetViews>
  <sheetFormatPr defaultRowHeight="15"/>
  <cols>
    <col min="1" max="1" width="30.7109375" customWidth="1"/>
    <col min="2" max="2" width="20.7109375" customWidth="1"/>
    <col min="4" max="4" width="30.7109375" customWidth="1"/>
    <col min="5" max="5" width="20.7109375" customWidth="1"/>
  </cols>
  <sheetData>
    <row r="1" spans="1:5">
      <c r="A1" s="3" t="s">
        <v>27</v>
      </c>
    </row>
    <row r="2" spans="1:5">
      <c r="A2" s="4" t="s">
        <v>28</v>
      </c>
    </row>
    <row r="4" spans="1:5">
      <c r="A4" s="4" t="s">
        <v>29</v>
      </c>
      <c r="D4" s="4" t="s">
        <v>31</v>
      </c>
    </row>
    <row r="5" spans="1:5">
      <c r="A5" cm="1">
        <f t="array" ref="A5">LET(    Data, TablaDatos,    Cuentas, _xlfn._xlws.SORT(_xlfn.UNIQUE(_xlfn._xlws.FILTER(TablaDatos[Cuenta], TablaDatos[Categoría]="Activo"))),    Saldos, _xlfn.MAP(Cuentas, _xlfn.LAMBDA(c, SUMIFS(TablaDatos[Debe], TablaDatos[Cuenta], c) - SUMIFS(TablaDatos[Haber], TablaDatos[Cuenta], c))),    _xlfn.HSTACK(Cuentas, Saldos))</f>
        <v>0</v>
      </c>
      <c r="D5" cm="1">
        <f t="array" ref="D5">LET(    Data, TablaDatos,    Cuentas, _xlfn._xlws.SORT(_xlfn.UNIQUE(_xlfn._xlws.FILTER(TablaDatos[Cuenta], TablaDatos[Categoría]="Pasivo"))),    Saldos, _xlfn.MAP(Cuentas, _xlfn.LAMBDA(c, SUMIFS(TablaDatos[Haber], TablaDatos[Cuenta], c) - SUMIFS(TablaDatos[Debe], TablaDatos[Cuenta], c))),    _xlfn.HSTACK(Cuentas, Saldos))</f>
        <v>0</v>
      </c>
    </row>
    <row r="15" spans="1:5">
      <c r="D15" s="5" t="s">
        <v>32</v>
      </c>
      <c r="E15" s="5">
        <f>SUM(INDEX(D5#,,2))</f>
        <v>0</v>
      </c>
    </row>
    <row r="18" spans="1:5">
      <c r="D18" s="4" t="s">
        <v>33</v>
      </c>
    </row>
    <row r="19" spans="1:5">
      <c r="D19" cm="1">
        <f t="array" ref="D19">LET(    Data, TablaDatos,    Cuentas, _xlfn._xlws.SORT(_xlfn.UNIQUE(_xlfn._xlws.FILTER(TablaDatos[Cuenta], TablaDatos[Categoría]="Patrimonio"))),    Saldos, _xlfn.MAP(Cuentas, _xlfn.LAMBDA(c, SUMIFS(TablaDatos[Haber], TablaDatos[Cuenta], c) - SUMIFS(TablaDatos[Debe], TablaDatos[Cuenta], c))),    _xlfn.HSTACK(Cuentas, Saldos))</f>
        <v>0</v>
      </c>
    </row>
    <row r="20" spans="1:5">
      <c r="A20" s="5" t="s">
        <v>30</v>
      </c>
      <c r="B20" s="5">
        <f>SUM(INDEX(A5#,,2))</f>
        <v>0</v>
      </c>
    </row>
    <row r="25" spans="1:5">
      <c r="D25" s="5" t="s">
        <v>34</v>
      </c>
      <c r="E25" s="5">
        <f>SUM(INDEX(D19#,,2))</f>
        <v>0</v>
      </c>
    </row>
    <row r="27" spans="1:5">
      <c r="A27" s="4" t="s">
        <v>36</v>
      </c>
      <c r="B27" s="6">
        <f>IF(ABS(B20 - E27) &lt; 0.01, "OK - BALANCEADO", "ERROR - DESCUADRE")</f>
        <v>0</v>
      </c>
      <c r="D27" s="5" t="s">
        <v>35</v>
      </c>
      <c r="E27" s="5">
        <f>E15 + E25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Datos</vt:lpstr>
      <vt:lpstr>Balance General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2026-02-19T02:48:32Z</dcterms:created>
  <dcterms:modified xsi:type="dcterms:W3CDTF">2026-02-19T02:48:32Z</dcterms:modified>
</cp:coreProperties>
</file>