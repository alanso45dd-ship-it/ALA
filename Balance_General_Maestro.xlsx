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  <sheet name="Balance_General" sheetId="2" r:id="rId2"/>
  </sheets>
  <calcPr calcId="124519" fullCalcOnLoad="1"/>
</workbook>
</file>

<file path=xl/sharedStrings.xml><?xml version="1.0" encoding="utf-8"?>
<sst xmlns="http://schemas.openxmlformats.org/spreadsheetml/2006/main" count="59" uniqueCount="33">
  <si>
    <t>Cuenta</t>
  </si>
  <si>
    <t>Categoria</t>
  </si>
  <si>
    <t>Subcategoria</t>
  </si>
  <si>
    <t>Monto</t>
  </si>
  <si>
    <t>Caja</t>
  </si>
  <si>
    <t>Activo</t>
  </si>
  <si>
    <t>Corriente</t>
  </si>
  <si>
    <t>Bancos</t>
  </si>
  <si>
    <t>Clientes</t>
  </si>
  <si>
    <t>Inventarios</t>
  </si>
  <si>
    <t>Terrenos</t>
  </si>
  <si>
    <t>No Corriente</t>
  </si>
  <si>
    <t>Edificios</t>
  </si>
  <si>
    <t>Maquinaria</t>
  </si>
  <si>
    <t>Proveedores</t>
  </si>
  <si>
    <t>Pasivo</t>
  </si>
  <si>
    <t>Cuentas por Pagar</t>
  </si>
  <si>
    <t>Impuestos por Pagar</t>
  </si>
  <si>
    <t>Prestamos Largo Plazo</t>
  </si>
  <si>
    <t>Capital Social</t>
  </si>
  <si>
    <t>Patrimonio</t>
  </si>
  <si>
    <t>Utilidades Retenidas</t>
  </si>
  <si>
    <t>BALANCE GENERAL - REPORTE MAESTRO</t>
  </si>
  <si>
    <t>ACTIVOS</t>
  </si>
  <si>
    <t>Activo Corriente</t>
  </si>
  <si>
    <t>Activo No Corriente</t>
  </si>
  <si>
    <t>TOTAL ACTIVOS</t>
  </si>
  <si>
    <t>PASIVOS Y PATRIMONIO</t>
  </si>
  <si>
    <t>Pasivo Corriente</t>
  </si>
  <si>
    <t>Pasivo No Corriente</t>
  </si>
  <si>
    <t>TOTAL PASIVOS</t>
  </si>
  <si>
    <t>TOTAL PASIVO + PATRIMONIO</t>
  </si>
  <si>
    <t>ESTADO DEL BALANCE: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</si>
</sst>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2">
    <dxf>
      <font>
        <b/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Datos" displayName="TableDatos" ref="A1:D14" totalsRowShown="0">
  <autoFilter ref="A1:D14"/>
  <tableColumns count="4">
    <tableColumn id="1" name="Cuenta"/>
    <tableColumn id="2" name="Categoria"/>
    <tableColumn id="3" name="Subcategoria"/>
    <tableColumn id="4" name="Mont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25.7109375" customWidth="1"/>
    <col min="2" max="4" width="15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s="1" customFormat="1">
      <c r="A2" s="1" t="s">
        <v>4</v>
      </c>
      <c r="B2" s="1" t="s">
        <v>5</v>
      </c>
      <c r="C2" s="1" t="s">
        <v>6</v>
      </c>
      <c r="D2" s="2">
        <v>15000</v>
      </c>
    </row>
    <row r="3" spans="1:4" s="1" customFormat="1">
      <c r="A3" s="1" t="s">
        <v>7</v>
      </c>
      <c r="B3" s="1" t="s">
        <v>5</v>
      </c>
      <c r="C3" s="1" t="s">
        <v>6</v>
      </c>
      <c r="D3" s="2">
        <v>45000</v>
      </c>
    </row>
    <row r="4" spans="1:4" s="1" customFormat="1">
      <c r="A4" s="1" t="s">
        <v>8</v>
      </c>
      <c r="B4" s="1" t="s">
        <v>5</v>
      </c>
      <c r="C4" s="1" t="s">
        <v>6</v>
      </c>
      <c r="D4" s="2">
        <v>30000</v>
      </c>
    </row>
    <row r="5" spans="1:4" s="1" customFormat="1">
      <c r="A5" s="1" t="s">
        <v>9</v>
      </c>
      <c r="B5" s="1" t="s">
        <v>5</v>
      </c>
      <c r="C5" s="1" t="s">
        <v>6</v>
      </c>
      <c r="D5" s="2">
        <v>25000</v>
      </c>
    </row>
    <row r="6" spans="1:4" s="1" customFormat="1">
      <c r="A6" s="1" t="s">
        <v>10</v>
      </c>
      <c r="B6" s="1" t="s">
        <v>5</v>
      </c>
      <c r="C6" s="1" t="s">
        <v>11</v>
      </c>
      <c r="D6" s="2">
        <v>100000</v>
      </c>
    </row>
    <row r="7" spans="1:4" s="1" customFormat="1">
      <c r="A7" s="1" t="s">
        <v>12</v>
      </c>
      <c r="B7" s="1" t="s">
        <v>5</v>
      </c>
      <c r="C7" s="1" t="s">
        <v>11</v>
      </c>
      <c r="D7" s="2">
        <v>200000</v>
      </c>
    </row>
    <row r="8" spans="1:4" s="1" customFormat="1">
      <c r="A8" s="1" t="s">
        <v>13</v>
      </c>
      <c r="B8" s="1" t="s">
        <v>5</v>
      </c>
      <c r="C8" s="1" t="s">
        <v>11</v>
      </c>
      <c r="D8" s="2">
        <v>50000</v>
      </c>
    </row>
    <row r="9" spans="1:4" s="1" customFormat="1">
      <c r="A9" s="1" t="s">
        <v>14</v>
      </c>
      <c r="B9" s="1" t="s">
        <v>15</v>
      </c>
      <c r="C9" s="1" t="s">
        <v>6</v>
      </c>
      <c r="D9" s="2">
        <v>40000</v>
      </c>
    </row>
    <row r="10" spans="1:4" s="1" customFormat="1">
      <c r="A10" s="1" t="s">
        <v>16</v>
      </c>
      <c r="B10" s="1" t="s">
        <v>15</v>
      </c>
      <c r="C10" s="1" t="s">
        <v>6</v>
      </c>
      <c r="D10" s="2">
        <v>20000</v>
      </c>
    </row>
    <row r="11" spans="1:4" s="1" customFormat="1">
      <c r="A11" s="1" t="s">
        <v>17</v>
      </c>
      <c r="B11" s="1" t="s">
        <v>15</v>
      </c>
      <c r="C11" s="1" t="s">
        <v>6</v>
      </c>
      <c r="D11" s="2">
        <v>15000</v>
      </c>
    </row>
    <row r="12" spans="1:4" s="1" customFormat="1">
      <c r="A12" s="1" t="s">
        <v>18</v>
      </c>
      <c r="B12" s="1" t="s">
        <v>15</v>
      </c>
      <c r="C12" s="1" t="s">
        <v>11</v>
      </c>
      <c r="D12" s="2">
        <v>120000</v>
      </c>
    </row>
    <row r="13" spans="1:4" s="1" customFormat="1">
      <c r="A13" s="1" t="s">
        <v>19</v>
      </c>
      <c r="B13" s="1" t="s">
        <v>20</v>
      </c>
      <c r="C13" s="1" t="s">
        <v>20</v>
      </c>
      <c r="D13" s="2">
        <v>200000</v>
      </c>
    </row>
    <row r="14" spans="1:4" s="1" customFormat="1">
      <c r="A14" s="1" t="s">
        <v>21</v>
      </c>
      <c r="B14" s="1" t="s">
        <v>20</v>
      </c>
      <c r="C14" s="1" t="s">
        <v>20</v>
      </c>
      <c r="D14" s="2">
        <v>70000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cols>
    <col min="1" max="1" width="25.7109375" customWidth="1"/>
    <col min="2" max="2" width="20.7109375" customWidth="1"/>
    <col min="3" max="3" width="5.7109375" customWidth="1"/>
    <col min="4" max="4" width="25.7109375" customWidth="1"/>
    <col min="5" max="5" width="20.7109375" customWidth="1"/>
  </cols>
  <sheetData>
    <row r="1" spans="1:5">
      <c r="A1" s="3" t="s">
        <v>22</v>
      </c>
      <c r="B1" s="3"/>
      <c r="C1" s="3"/>
      <c r="D1" s="3"/>
      <c r="E1" s="3"/>
    </row>
    <row r="3" spans="1:5">
      <c r="A3" s="4" t="s">
        <v>23</v>
      </c>
      <c r="D3" s="4" t="s">
        <v>27</v>
      </c>
    </row>
    <row r="4" spans="1:5">
      <c r="A4" s="1" t="s">
        <v>24</v>
      </c>
      <c r="B4" s="2">
        <f>SUMIFS(TableDatos[Monto], TableDatos[Categoria], "Activo", TableDatos[Subcategoria], "Corriente")</f>
        <v>0</v>
      </c>
      <c r="D4" s="1" t="s">
        <v>28</v>
      </c>
      <c r="E4" s="2">
        <f>SUMIFS(TableDatos[Monto], TableDatos[Categoria], "Pasivo", TableDatos[Subcategoria], "Corriente")</f>
        <v>0</v>
      </c>
    </row>
    <row r="5" spans="1:5">
      <c r="A5" s="1" t="s">
        <v>25</v>
      </c>
      <c r="B5" s="2">
        <f>SUMIFS(TableDatos[Monto], TableDatos[Categoria], "Activo", TableDatos[Subcategoria], "No Corriente")</f>
        <v>0</v>
      </c>
      <c r="D5" s="1" t="s">
        <v>29</v>
      </c>
      <c r="E5" s="2">
        <f>SUMIFS(TableDatos[Monto], TableDatos[Categoria], "Pasivo", TableDatos[Subcategoria], "No Corriente")</f>
        <v>0</v>
      </c>
    </row>
    <row r="6" spans="1:5">
      <c r="A6" s="4" t="s">
        <v>26</v>
      </c>
      <c r="B6" s="2">
        <f>SUM(B4:B5)</f>
        <v>0</v>
      </c>
      <c r="D6" s="4" t="s">
        <v>30</v>
      </c>
      <c r="E6" s="2">
        <f>SUM(E4:E5)</f>
        <v>0</v>
      </c>
    </row>
    <row r="7" spans="1:5">
      <c r="D7" s="1" t="s">
        <v>20</v>
      </c>
      <c r="E7" s="2">
        <f>SUMIFS(TableDatos[Monto], TableDatos[Categoria], "Patrimonio")</f>
        <v>0</v>
      </c>
    </row>
    <row r="8" spans="1:5">
      <c r="D8" s="4" t="s">
        <v>31</v>
      </c>
      <c r="E8" s="2">
        <f>E6+E7</f>
        <v>0</v>
      </c>
    </row>
    <row r="10" spans="1:5">
      <c r="A10" s="4" t="s">
        <v>32</v>
      </c>
      <c r="B10">
        <f>IF(ABS(B6-E8)&lt;0.01, "BALANCEADO", "DESCUADRADO")</f>
        <v>0</v>
      </c>
    </row>
  </sheetData>
  <mergeCells count="1">
    <mergeCell ref="A1:E1"/>
  </mergeCells>
  <conditionalFormatting sqref="B10">
    <cfRule type="cellIs" dxfId="0" priority="1" operator="equal">
      <formula>"BALANCEADO"</formula>
    </cfRule>
    <cfRule type="cellIs" dxfId="1" priority="2" operator="notEqual">
      <formula>"BALANCEADO"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Balance_General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2026-02-18T02:32:09Z</dcterms:created>
  <dcterms:modified xsi:type="dcterms:W3CDTF">2026-02-18T02:32:09Z</dcterms:modified>
</cp:coreProperties>
</file>